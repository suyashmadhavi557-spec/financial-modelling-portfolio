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81F6171-A43D-45A6-A945-2AB0BD2B82CA}" xr6:coauthVersionLast="47" xr6:coauthVersionMax="47" xr10:uidLastSave="{00000000-0000-0000-0000-000000000000}"/>
  <bookViews>
    <workbookView xWindow="-110" yWindow="-110" windowWidth="19420" windowHeight="11500" xr2:uid="{BB60610C-F9A6-40E7-B4FC-5457CE6D9B62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2" l="1"/>
  <c r="D50" i="2"/>
  <c r="D55" i="2" s="1"/>
  <c r="B50" i="2"/>
  <c r="B55" i="2" s="1"/>
  <c r="B59" i="3"/>
  <c r="C54" i="3" s="1"/>
  <c r="D8" i="2"/>
  <c r="C50" i="3"/>
  <c r="C41" i="3"/>
  <c r="C7" i="3"/>
  <c r="C58" i="3"/>
  <c r="C55" i="3"/>
  <c r="B58" i="3"/>
  <c r="B56" i="3"/>
  <c r="B50" i="3"/>
  <c r="B41" i="3"/>
  <c r="B16" i="3"/>
  <c r="B7" i="3"/>
  <c r="B43" i="2"/>
  <c r="B29" i="2"/>
  <c r="B17" i="2"/>
  <c r="B8" i="2"/>
  <c r="D43" i="2"/>
  <c r="D29" i="2"/>
  <c r="D17" i="2"/>
  <c r="C43" i="2"/>
  <c r="C29" i="2"/>
  <c r="C17" i="2"/>
  <c r="C8" i="2"/>
  <c r="B16" i="1"/>
  <c r="D7" i="1"/>
  <c r="D18" i="1" s="1"/>
  <c r="D16" i="1"/>
  <c r="C16" i="1"/>
  <c r="C7" i="1"/>
  <c r="B7" i="1"/>
  <c r="B18" i="1" s="1"/>
  <c r="B22" i="1" s="1"/>
  <c r="B27" i="1" s="1"/>
  <c r="D30" i="2" l="1"/>
  <c r="C30" i="2"/>
  <c r="C31" i="2" s="1"/>
  <c r="B57" i="2"/>
  <c r="B30" i="2"/>
  <c r="B31" i="2" s="1"/>
  <c r="B59" i="2" s="1"/>
  <c r="C56" i="3"/>
  <c r="C18" i="1"/>
  <c r="C22" i="1" s="1"/>
  <c r="C27" i="1" s="1"/>
  <c r="C6" i="3"/>
  <c r="C17" i="3" s="1"/>
  <c r="C27" i="3" s="1"/>
  <c r="C29" i="3" s="1"/>
  <c r="C52" i="3" s="1"/>
  <c r="B61" i="3"/>
  <c r="D31" i="2"/>
  <c r="D22" i="1"/>
  <c r="D27" i="1" s="1"/>
  <c r="D20" i="1"/>
  <c r="C20" i="1"/>
  <c r="B20" i="1"/>
  <c r="D57" i="2"/>
  <c r="C55" i="2"/>
  <c r="C57" i="2" s="1"/>
  <c r="C59" i="2" s="1"/>
  <c r="C59" i="3"/>
  <c r="C61" i="3" l="1"/>
  <c r="D59" i="2"/>
  <c r="B6" i="3"/>
  <c r="B17" i="3" s="1"/>
  <c r="B27" i="3" s="1"/>
  <c r="B29" i="3" s="1"/>
  <c r="B52" i="3" s="1"/>
</calcChain>
</file>

<file path=xl/sharedStrings.xml><?xml version="1.0" encoding="utf-8"?>
<sst xmlns="http://schemas.openxmlformats.org/spreadsheetml/2006/main" count="146" uniqueCount="126">
  <si>
    <t>Nestle India</t>
  </si>
  <si>
    <t>Income Statement of Last 3 FY</t>
  </si>
  <si>
    <t>FY 25-26</t>
  </si>
  <si>
    <t>FY 24-25</t>
  </si>
  <si>
    <t>FY 23-24</t>
  </si>
  <si>
    <t>Particulars</t>
  </si>
  <si>
    <t>Revenue from operations</t>
  </si>
  <si>
    <t>Other Income</t>
  </si>
  <si>
    <t>Cost of Materials consumed</t>
  </si>
  <si>
    <t>Purchase of Stock in trade</t>
  </si>
  <si>
    <t>Changes in Inventories</t>
  </si>
  <si>
    <t>Employee benefit expense</t>
  </si>
  <si>
    <t>Finance Costs</t>
  </si>
  <si>
    <t>Depreciation and Amortisation</t>
  </si>
  <si>
    <t>Other Expenses</t>
  </si>
  <si>
    <t>Tax Expense</t>
  </si>
  <si>
    <t>Profit after tax</t>
  </si>
  <si>
    <t>Amt (in ₹ million)</t>
  </si>
  <si>
    <t>Exceptional items [ Charge or (Credit)]</t>
  </si>
  <si>
    <t>Profit before Tax</t>
  </si>
  <si>
    <t xml:space="preserve">    Current Tax</t>
  </si>
  <si>
    <t xml:space="preserve">    Deffered Tax</t>
  </si>
  <si>
    <t>Balance Sheet of Last 3FY</t>
  </si>
  <si>
    <t>Equity and Liabilities</t>
  </si>
  <si>
    <t>Equity Share Capital</t>
  </si>
  <si>
    <t>Other Equity</t>
  </si>
  <si>
    <t>Total Equity</t>
  </si>
  <si>
    <t>Non Current Liabilities</t>
  </si>
  <si>
    <t>Financial Liabilities</t>
  </si>
  <si>
    <t xml:space="preserve">   Borrowings</t>
  </si>
  <si>
    <t xml:space="preserve">   Lease Liabilities</t>
  </si>
  <si>
    <t>Provisions</t>
  </si>
  <si>
    <t>Deffered Tax Liabilities</t>
  </si>
  <si>
    <t>Total Non Current Liabilities</t>
  </si>
  <si>
    <t>Current Liabilities</t>
  </si>
  <si>
    <t>Financial liabilities</t>
  </si>
  <si>
    <t xml:space="preserve">    Borrowings</t>
  </si>
  <si>
    <t xml:space="preserve">    Lease Liabilities</t>
  </si>
  <si>
    <t xml:space="preserve">    Trade Payables</t>
  </si>
  <si>
    <t xml:space="preserve">    Payables for Capex</t>
  </si>
  <si>
    <t xml:space="preserve">    Other Financial Liabilities</t>
  </si>
  <si>
    <t>Other Current liabilities</t>
  </si>
  <si>
    <t>Current Tax Liabilities</t>
  </si>
  <si>
    <t>Total Current Liabilities</t>
  </si>
  <si>
    <t>Total Equity and Liabilities</t>
  </si>
  <si>
    <t>Assets</t>
  </si>
  <si>
    <t>Non Current Assets</t>
  </si>
  <si>
    <t xml:space="preserve">      Property, Plant &amp; Equipment</t>
  </si>
  <si>
    <t xml:space="preserve">      Capital Work In Progress</t>
  </si>
  <si>
    <t xml:space="preserve">      Intagible Assets</t>
  </si>
  <si>
    <t xml:space="preserve">      Financial Assets</t>
  </si>
  <si>
    <t xml:space="preserve">           Investment in Associates</t>
  </si>
  <si>
    <t xml:space="preserve">           Loans</t>
  </si>
  <si>
    <t xml:space="preserve">           Other Financial Assets</t>
  </si>
  <si>
    <t>Total Non Current Assets</t>
  </si>
  <si>
    <t>Current Assets</t>
  </si>
  <si>
    <t xml:space="preserve">      Inventories</t>
  </si>
  <si>
    <t xml:space="preserve">            Trade Receivables</t>
  </si>
  <si>
    <t xml:space="preserve">            Cash and Cash Equivalents</t>
  </si>
  <si>
    <t xml:space="preserve">            Bank Balance other than cash and cash equivalent</t>
  </si>
  <si>
    <t xml:space="preserve">            Loans</t>
  </si>
  <si>
    <t xml:space="preserve">            Other Financial Assets</t>
  </si>
  <si>
    <t xml:space="preserve">      Other  Non-Current Assets</t>
  </si>
  <si>
    <t xml:space="preserve">       Other Current Assets</t>
  </si>
  <si>
    <t>Total Current Assets</t>
  </si>
  <si>
    <t>Total Assets</t>
  </si>
  <si>
    <t>Other Non Current Liabilities</t>
  </si>
  <si>
    <t xml:space="preserve">   Total Liabilities</t>
  </si>
  <si>
    <t xml:space="preserve">            Investments</t>
  </si>
  <si>
    <t>Cash Flow Statement of 2 FY</t>
  </si>
  <si>
    <t>Amt (₹ in million)</t>
  </si>
  <si>
    <t>A. Cash Flow from Operating Activities</t>
  </si>
  <si>
    <t>Operating Profit Before working Capital Changes</t>
  </si>
  <si>
    <t xml:space="preserve">           Interest income</t>
  </si>
  <si>
    <t xml:space="preserve">           Interest on bank overdraft and others</t>
  </si>
  <si>
    <t xml:space="preserve">           Interest on lease liabilities</t>
  </si>
  <si>
    <t xml:space="preserve">           Allowance for impairment on financial assets</t>
  </si>
  <si>
    <t xml:space="preserve">           Unrealised exchange differences</t>
  </si>
  <si>
    <t>Profit before Tax and Exceptional items</t>
  </si>
  <si>
    <t>Share of (profit) / loss of associate accounted for using the equity method (net of tax) (C)</t>
  </si>
  <si>
    <t xml:space="preserve">C. PROFIT BEFORE SHARE OF (PROFIT) / LOSS OF AN ASSOCIATE, EXCEPTIONAL ITEMS AND TAX </t>
  </si>
  <si>
    <t>B. Total Expenses</t>
  </si>
  <si>
    <t xml:space="preserve">A. Total Income </t>
  </si>
  <si>
    <t>Changes in Working Capital</t>
  </si>
  <si>
    <r>
      <rPr>
        <b/>
        <sz val="11"/>
        <color theme="1"/>
        <rFont val="Calibri"/>
        <family val="2"/>
        <scheme val="minor"/>
      </rPr>
      <t>Add:</t>
    </r>
    <r>
      <rPr>
        <sz val="11"/>
        <color theme="1"/>
        <rFont val="Calibri"/>
        <family val="2"/>
        <scheme val="minor"/>
      </rPr>
      <t xml:space="preserve"> Depreciation &amp; Amortisation</t>
    </r>
  </si>
  <si>
    <r>
      <rPr>
        <b/>
        <sz val="11"/>
        <color theme="1"/>
        <rFont val="Calibri"/>
        <family val="2"/>
        <scheme val="minor"/>
      </rPr>
      <t>Add:</t>
    </r>
    <r>
      <rPr>
        <sz val="11"/>
        <color theme="1"/>
        <rFont val="Calibri"/>
        <family val="2"/>
        <scheme val="minor"/>
      </rPr>
      <t xml:space="preserve"> Finance Costs</t>
    </r>
  </si>
  <si>
    <r>
      <rPr>
        <b/>
        <sz val="11"/>
        <color theme="1"/>
        <rFont val="Calibri"/>
        <family val="2"/>
        <scheme val="minor"/>
      </rPr>
      <t xml:space="preserve">Add/(Less): </t>
    </r>
    <r>
      <rPr>
        <sz val="11"/>
        <color theme="1"/>
        <rFont val="Calibri"/>
        <family val="2"/>
        <scheme val="minor"/>
      </rPr>
      <t>Loss / (profit) on property, plant and equipment sold/scrapped/ written off (net)</t>
    </r>
  </si>
  <si>
    <r>
      <rPr>
        <b/>
        <sz val="11"/>
        <color theme="1"/>
        <rFont val="Calibri"/>
        <family val="2"/>
        <scheme val="minor"/>
      </rPr>
      <t>Less:</t>
    </r>
    <r>
      <rPr>
        <sz val="11"/>
        <color theme="1"/>
        <rFont val="Calibri"/>
        <family val="2"/>
        <scheme val="minor"/>
      </rPr>
      <t xml:space="preserve"> Other Income </t>
    </r>
  </si>
  <si>
    <r>
      <rPr>
        <b/>
        <sz val="11"/>
        <color theme="1"/>
        <rFont val="Calibri"/>
        <family val="2"/>
        <scheme val="minor"/>
      </rPr>
      <t>Add/(Less):</t>
    </r>
    <r>
      <rPr>
        <sz val="11"/>
        <color theme="1"/>
        <rFont val="Calibri"/>
        <family val="2"/>
        <scheme val="minor"/>
      </rPr>
      <t xml:space="preserve"> Exceptional Items (Non Cash Portion)</t>
    </r>
  </si>
  <si>
    <r>
      <rPr>
        <b/>
        <sz val="11"/>
        <color theme="1"/>
        <rFont val="Calibri"/>
        <family val="2"/>
        <scheme val="minor"/>
      </rPr>
      <t>Add/(less):</t>
    </r>
    <r>
      <rPr>
        <sz val="11"/>
        <color theme="1"/>
        <rFont val="Calibri"/>
        <family val="2"/>
        <scheme val="minor"/>
      </rPr>
      <t xml:space="preserve"> Decrease / (increase) in inventories</t>
    </r>
  </si>
  <si>
    <r>
      <rPr>
        <b/>
        <sz val="11"/>
        <color theme="1"/>
        <rFont val="Calibri"/>
        <family val="2"/>
        <scheme val="minor"/>
      </rPr>
      <t>Add/(less):</t>
    </r>
    <r>
      <rPr>
        <sz val="11"/>
        <color theme="1"/>
        <rFont val="Calibri"/>
        <family val="2"/>
        <scheme val="minor"/>
      </rPr>
      <t>Decrease / (increase) in trade receivables</t>
    </r>
  </si>
  <si>
    <r>
      <rPr>
        <b/>
        <sz val="11"/>
        <color theme="1"/>
        <rFont val="Calibri"/>
        <family val="2"/>
        <scheme val="minor"/>
      </rPr>
      <t xml:space="preserve">Add/(less): </t>
    </r>
    <r>
      <rPr>
        <sz val="11"/>
        <color theme="1"/>
        <rFont val="Calibri"/>
        <family val="2"/>
        <scheme val="minor"/>
      </rPr>
      <t>Decrease / (increase) in other financial assets &amp; other assets</t>
    </r>
  </si>
  <si>
    <t>Cash generated from operations</t>
  </si>
  <si>
    <r>
      <rPr>
        <b/>
        <sz val="11"/>
        <color theme="1"/>
        <rFont val="Calibri"/>
        <family val="2"/>
        <scheme val="minor"/>
      </rPr>
      <t xml:space="preserve">Add/(less): </t>
    </r>
    <r>
      <rPr>
        <sz val="11"/>
        <color theme="1"/>
        <rFont val="Calibri"/>
        <family val="2"/>
        <scheme val="minor"/>
      </rPr>
      <t>Increase / (decrease) in provision for employee benefits</t>
    </r>
  </si>
  <si>
    <r>
      <rPr>
        <b/>
        <sz val="11"/>
        <color theme="1"/>
        <rFont val="Calibri"/>
        <family val="2"/>
        <scheme val="minor"/>
      </rPr>
      <t>Add/(less)</t>
    </r>
    <r>
      <rPr>
        <sz val="11"/>
        <color theme="1"/>
        <rFont val="Calibri"/>
        <family val="2"/>
        <scheme val="minor"/>
      </rPr>
      <t>: Increase / (decrease) in provision for contingencies</t>
    </r>
  </si>
  <si>
    <r>
      <rPr>
        <b/>
        <sz val="11"/>
        <color theme="1"/>
        <rFont val="Calibri"/>
        <family val="2"/>
        <scheme val="minor"/>
      </rPr>
      <t>Add/ (Less):</t>
    </r>
    <r>
      <rPr>
        <sz val="11"/>
        <color theme="1"/>
        <rFont val="Calibri"/>
        <family val="2"/>
        <scheme val="minor"/>
      </rPr>
      <t xml:space="preserve"> Increase / (decrease) in trade payables</t>
    </r>
  </si>
  <si>
    <r>
      <rPr>
        <b/>
        <sz val="11"/>
        <color theme="1"/>
        <rFont val="Calibri"/>
        <family val="2"/>
        <scheme val="minor"/>
      </rPr>
      <t xml:space="preserve">Add/ (less): </t>
    </r>
    <r>
      <rPr>
        <sz val="11"/>
        <color theme="1"/>
        <rFont val="Calibri"/>
        <family val="2"/>
        <scheme val="minor"/>
      </rPr>
      <t>Increase / (decrease) in other financial liabilities &amp; other liabilities</t>
    </r>
  </si>
  <si>
    <r>
      <rPr>
        <b/>
        <sz val="11"/>
        <color theme="1"/>
        <rFont val="Calibri"/>
        <family val="2"/>
        <scheme val="minor"/>
      </rPr>
      <t xml:space="preserve">Less: </t>
    </r>
    <r>
      <rPr>
        <sz val="11"/>
        <color theme="1"/>
        <rFont val="Calibri"/>
        <family val="2"/>
        <scheme val="minor"/>
      </rPr>
      <t>Income taxes paid (net of refunds)</t>
    </r>
  </si>
  <si>
    <t>Net cash flows generated from / (used in) operating activities</t>
  </si>
  <si>
    <t>B. CASH FLOWS FROM INVESTING ACTIVITIES</t>
  </si>
  <si>
    <t>Purchase of property, plant and equipment including capital work-in-progress</t>
  </si>
  <si>
    <t>Proceeds from sale of property, plant and equipment</t>
  </si>
  <si>
    <t>(Purchase of) / proceeds from sale of Mutual funds (net)</t>
  </si>
  <si>
    <t>Proceeds from redemption of tax free bonds and other investments</t>
  </si>
  <si>
    <t>Investment in equity shares of associate</t>
  </si>
  <si>
    <t>Proceeds from sale of businesses net of tax</t>
  </si>
  <si>
    <t>Amount received from insurance pension plan - separations</t>
  </si>
  <si>
    <t>Net decrease / (increase) in loans to employees</t>
  </si>
  <si>
    <t>Interest received on bank deposits, investments, tax free bonds, employee loans etc.</t>
  </si>
  <si>
    <t>Net cash generated from / (used in) investing activities</t>
  </si>
  <si>
    <t>C. CASH FLOWS FROM FINANCING ACTIVITIES</t>
  </si>
  <si>
    <t>Payment of deferred VAT liabilities under state government schemes</t>
  </si>
  <si>
    <t>Proceeds / (re - payment) of short term borrowing and overdraft from banks</t>
  </si>
  <si>
    <t>Interest on bank overdraft and others</t>
  </si>
  <si>
    <t>Interest on lease liabilities</t>
  </si>
  <si>
    <t>Principal payment of lease liabilities</t>
  </si>
  <si>
    <t>Dividends paid</t>
  </si>
  <si>
    <t>Net cash generated from / (used in) financing activities</t>
  </si>
  <si>
    <t>NET INCREASE IN CASH AND CASH EQUIVALENTS (A+B+C)</t>
  </si>
  <si>
    <t>Cash and cash equivalents</t>
  </si>
  <si>
    <t>Current investments</t>
  </si>
  <si>
    <t xml:space="preserve"> </t>
  </si>
  <si>
    <t>D. Total cash and cash equivalents at the beginning of the year</t>
  </si>
  <si>
    <t>E. Total cash and cash equivalents at the end of the year</t>
  </si>
  <si>
    <t>NET INCREASE/ (DECREASE) IN CASH AND CASH EQUIVALENTS  (E-D)</t>
  </si>
  <si>
    <t>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</si>
</sst>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;[Red][$₹-4009]\ #,##0.00"/>
    <numFmt numFmtId="165" formatCode="[$₹-4009]\ #,##0.0;[Red][$₹-4009]\ #,##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1" xfId="0" applyNumberFormat="1" applyFont="1" applyBorder="1"/>
    <xf numFmtId="0" fontId="1" fillId="0" borderId="7" xfId="0" applyFont="1" applyBorder="1"/>
    <xf numFmtId="164" fontId="1" fillId="0" borderId="4" xfId="0" applyNumberFormat="1" applyFont="1" applyBorder="1"/>
    <xf numFmtId="0" fontId="4" fillId="0" borderId="5" xfId="0" applyFont="1" applyBorder="1"/>
    <xf numFmtId="0" fontId="4" fillId="0" borderId="3" xfId="0" applyFont="1" applyBorder="1"/>
    <xf numFmtId="0" fontId="4" fillId="0" borderId="1" xfId="0" applyFont="1" applyBorder="1"/>
    <xf numFmtId="164" fontId="1" fillId="0" borderId="3" xfId="0" applyNumberFormat="1" applyFont="1" applyBorder="1"/>
    <xf numFmtId="164" fontId="4" fillId="0" borderId="5" xfId="0" applyNumberFormat="1" applyFont="1" applyBorder="1"/>
    <xf numFmtId="0" fontId="4" fillId="0" borderId="9" xfId="0" applyFont="1" applyBorder="1"/>
    <xf numFmtId="164" fontId="4" fillId="0" borderId="6" xfId="0" applyNumberFormat="1" applyFont="1" applyBorder="1"/>
    <xf numFmtId="164" fontId="4" fillId="0" borderId="9" xfId="0" applyNumberFormat="1" applyFont="1" applyBorder="1"/>
    <xf numFmtId="0" fontId="4" fillId="0" borderId="10" xfId="0" applyFont="1" applyBorder="1"/>
    <xf numFmtId="164" fontId="4" fillId="0" borderId="8" xfId="0" applyNumberFormat="1" applyFont="1" applyBorder="1"/>
    <xf numFmtId="0" fontId="0" fillId="0" borderId="1" xfId="0" applyBorder="1"/>
    <xf numFmtId="0" fontId="5" fillId="0" borderId="1" xfId="0" applyFont="1" applyBorder="1"/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164" fontId="1" fillId="0" borderId="6" xfId="0" applyNumberFormat="1" applyFont="1" applyBorder="1"/>
    <xf numFmtId="164" fontId="1" fillId="0" borderId="11" xfId="0" applyNumberFormat="1" applyFont="1" applyBorder="1"/>
    <xf numFmtId="164" fontId="1" fillId="0" borderId="9" xfId="0" applyNumberFormat="1" applyFont="1" applyBorder="1"/>
    <xf numFmtId="0" fontId="5" fillId="0" borderId="10" xfId="0" applyFont="1" applyBorder="1"/>
    <xf numFmtId="165" fontId="0" fillId="0" borderId="1" xfId="0" applyNumberFormat="1" applyBorder="1"/>
    <xf numFmtId="165" fontId="0" fillId="0" borderId="3" xfId="0" applyNumberFormat="1" applyBorder="1"/>
    <xf numFmtId="4" fontId="0" fillId="0" borderId="0" xfId="0" applyNumberFormat="1"/>
    <xf numFmtId="165" fontId="0" fillId="0" borderId="4" xfId="0" applyNumberFormat="1" applyBorder="1"/>
    <xf numFmtId="165" fontId="0" fillId="0" borderId="0" xfId="0" applyNumberFormat="1"/>
    <xf numFmtId="0" fontId="5" fillId="0" borderId="5" xfId="0" applyFont="1" applyBorder="1"/>
    <xf numFmtId="164" fontId="5" fillId="0" borderId="10" xfId="0" applyNumberFormat="1" applyFont="1" applyBorder="1"/>
    <xf numFmtId="165" fontId="0" fillId="0" borderId="9" xfId="0" applyNumberFormat="1" applyBorder="1"/>
    <xf numFmtId="165" fontId="5" fillId="0" borderId="11" xfId="0" applyNumberFormat="1" applyFont="1" applyBorder="1"/>
    <xf numFmtId="165" fontId="5" fillId="0" borderId="5" xfId="0" applyNumberFormat="1" applyFont="1" applyBorder="1"/>
    <xf numFmtId="165" fontId="5" fillId="0" borderId="1" xfId="0" applyNumberFormat="1" applyFont="1" applyBorder="1"/>
    <xf numFmtId="165" fontId="5" fillId="0" borderId="6" xfId="0" applyNumberFormat="1" applyFont="1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164" fontId="5" fillId="0" borderId="14" xfId="0" applyNumberFormat="1" applyFont="1" applyBorder="1"/>
    <xf numFmtId="164" fontId="5" fillId="0" borderId="15" xfId="0" applyNumberFormat="1" applyFont="1" applyBorder="1"/>
    <xf numFmtId="0" fontId="3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4282-2C42-419F-ACAC-1551FD2A6725}">
  <dimension ref="A1:L48"/>
  <sheetViews>
    <sheetView tabSelected="1" zoomScale="90" zoomScaleNormal="90" workbookViewId="0">
      <selection sqref="A1:L1"/>
    </sheetView>
  </sheetViews>
  <sheetFormatPr defaultRowHeight="14.5" x14ac:dyDescent="0.35"/>
  <cols>
    <col min="1" max="1" width="87.1796875" bestFit="1" customWidth="1"/>
    <col min="2" max="4" width="16.6328125" bestFit="1" customWidth="1"/>
  </cols>
  <sheetData>
    <row r="1" spans="1:12" ht="28.5" x14ac:dyDescent="0.6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23.5" x14ac:dyDescent="0.55000000000000004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5.5" x14ac:dyDescent="0.35">
      <c r="A3" s="47" t="s">
        <v>5</v>
      </c>
      <c r="B3" s="1" t="s">
        <v>4</v>
      </c>
      <c r="C3" s="1" t="s">
        <v>2</v>
      </c>
      <c r="D3" s="1" t="s">
        <v>3</v>
      </c>
    </row>
    <row r="4" spans="1:12" ht="15.5" x14ac:dyDescent="0.35">
      <c r="A4" s="48"/>
      <c r="B4" s="1" t="s">
        <v>17</v>
      </c>
      <c r="C4" s="1" t="s">
        <v>17</v>
      </c>
      <c r="D4" s="1" t="s">
        <v>17</v>
      </c>
    </row>
    <row r="5" spans="1:12" ht="15.5" x14ac:dyDescent="0.35">
      <c r="A5" s="1" t="s">
        <v>6</v>
      </c>
      <c r="B5" s="4">
        <v>243938.9</v>
      </c>
      <c r="C5" s="4">
        <v>231546</v>
      </c>
      <c r="D5" s="4">
        <v>202015.6</v>
      </c>
    </row>
    <row r="6" spans="1:12" ht="16" thickBot="1" x14ac:dyDescent="0.4">
      <c r="A6" s="2" t="s">
        <v>7</v>
      </c>
      <c r="B6" s="10">
        <v>1479.6</v>
      </c>
      <c r="C6" s="10">
        <v>403.5</v>
      </c>
      <c r="D6" s="10">
        <v>629.9</v>
      </c>
    </row>
    <row r="7" spans="1:12" ht="16" thickBot="1" x14ac:dyDescent="0.4">
      <c r="A7" s="7" t="s">
        <v>82</v>
      </c>
      <c r="B7" s="24">
        <f>SUM(B5:B6)</f>
        <v>245418.5</v>
      </c>
      <c r="C7" s="23">
        <f>SUM(C5:C6)</f>
        <v>231949.5</v>
      </c>
      <c r="D7" s="23">
        <f>SUM(D5:D6)</f>
        <v>202645.5</v>
      </c>
    </row>
    <row r="8" spans="1:12" ht="15.5" x14ac:dyDescent="0.35">
      <c r="A8" s="3"/>
      <c r="B8" s="6"/>
      <c r="C8" s="6"/>
      <c r="D8" s="6"/>
    </row>
    <row r="9" spans="1:12" ht="15.5" x14ac:dyDescent="0.35">
      <c r="A9" s="1" t="s">
        <v>8</v>
      </c>
      <c r="B9" s="4">
        <v>102168.8</v>
      </c>
      <c r="C9" s="4">
        <v>98140.4</v>
      </c>
      <c r="D9" s="4">
        <v>83901.5</v>
      </c>
    </row>
    <row r="10" spans="1:12" ht="15.5" x14ac:dyDescent="0.35">
      <c r="A10" s="1" t="s">
        <v>9</v>
      </c>
      <c r="B10" s="4">
        <v>5373.7</v>
      </c>
      <c r="C10" s="4">
        <v>6954.8</v>
      </c>
      <c r="D10" s="4">
        <v>4993.1000000000004</v>
      </c>
    </row>
    <row r="11" spans="1:12" ht="15.5" x14ac:dyDescent="0.35">
      <c r="A11" s="1" t="s">
        <v>10</v>
      </c>
      <c r="B11" s="4">
        <v>-456.8</v>
      </c>
      <c r="C11" s="4">
        <v>-1682.3</v>
      </c>
      <c r="D11" s="4">
        <v>-1396.6</v>
      </c>
    </row>
    <row r="12" spans="1:12" ht="15.5" x14ac:dyDescent="0.35">
      <c r="A12" s="1" t="s">
        <v>11</v>
      </c>
      <c r="B12" s="4">
        <v>23360.6</v>
      </c>
      <c r="C12" s="4">
        <v>21658.1</v>
      </c>
      <c r="D12" s="4">
        <v>20275.400000000001</v>
      </c>
    </row>
    <row r="13" spans="1:12" ht="15.5" x14ac:dyDescent="0.35">
      <c r="A13" s="1" t="s">
        <v>12</v>
      </c>
      <c r="B13" s="4">
        <v>1454.9</v>
      </c>
      <c r="C13" s="4">
        <v>1583.1</v>
      </c>
      <c r="D13" s="4">
        <v>1360</v>
      </c>
    </row>
    <row r="14" spans="1:12" ht="15.5" x14ac:dyDescent="0.35">
      <c r="A14" s="1" t="s">
        <v>13</v>
      </c>
      <c r="B14" s="4">
        <v>5677.5</v>
      </c>
      <c r="C14" s="4">
        <v>6992.3</v>
      </c>
      <c r="D14" s="4">
        <v>5399.2</v>
      </c>
    </row>
    <row r="15" spans="1:12" ht="16" thickBot="1" x14ac:dyDescent="0.4">
      <c r="A15" s="2" t="s">
        <v>14</v>
      </c>
      <c r="B15" s="10">
        <v>54994.8</v>
      </c>
      <c r="C15" s="10">
        <v>53414.400000000001</v>
      </c>
      <c r="D15" s="10">
        <v>46546.400000000001</v>
      </c>
    </row>
    <row r="16" spans="1:12" ht="16" thickBot="1" x14ac:dyDescent="0.4">
      <c r="A16" s="7" t="s">
        <v>81</v>
      </c>
      <c r="B16" s="24">
        <f>SUM(B9:B15)</f>
        <v>192573.5</v>
      </c>
      <c r="C16" s="23">
        <f>SUM(C9:C15)</f>
        <v>187060.8</v>
      </c>
      <c r="D16" s="23">
        <f>SUM(D9:D15)</f>
        <v>161079</v>
      </c>
    </row>
    <row r="17" spans="1:4" ht="15.5" x14ac:dyDescent="0.35">
      <c r="A17" s="3"/>
      <c r="B17" s="6"/>
      <c r="C17" s="6"/>
      <c r="D17" s="6"/>
    </row>
    <row r="18" spans="1:4" ht="15.5" x14ac:dyDescent="0.35">
      <c r="A18" s="9" t="s">
        <v>80</v>
      </c>
      <c r="B18" s="4">
        <f>B7-B16</f>
        <v>52845</v>
      </c>
      <c r="C18" s="4">
        <f>C7-C16</f>
        <v>44888.700000000012</v>
      </c>
      <c r="D18" s="4">
        <f>D7-D16</f>
        <v>41566.5</v>
      </c>
    </row>
    <row r="19" spans="1:4" ht="16" thickBot="1" x14ac:dyDescent="0.4">
      <c r="A19" s="8" t="s">
        <v>79</v>
      </c>
      <c r="B19" s="10"/>
      <c r="C19" s="10"/>
      <c r="D19" s="10">
        <v>239.5</v>
      </c>
    </row>
    <row r="20" spans="1:4" ht="16" thickBot="1" x14ac:dyDescent="0.4">
      <c r="A20" s="7" t="s">
        <v>78</v>
      </c>
      <c r="B20" s="24">
        <f>B18-B19</f>
        <v>52845</v>
      </c>
      <c r="C20" s="23">
        <f>C18-C19</f>
        <v>44888.700000000012</v>
      </c>
      <c r="D20" s="23">
        <f>D18-D19</f>
        <v>41327</v>
      </c>
    </row>
    <row r="21" spans="1:4" ht="16" thickBot="1" x14ac:dyDescent="0.4">
      <c r="A21" s="5" t="s">
        <v>18</v>
      </c>
      <c r="B21" s="25">
        <v>-43.7</v>
      </c>
      <c r="C21" s="25">
        <v>-1207.8</v>
      </c>
      <c r="D21" s="25">
        <v>-2908.2</v>
      </c>
    </row>
    <row r="22" spans="1:4" ht="16" thickBot="1" x14ac:dyDescent="0.4">
      <c r="A22" s="7" t="s">
        <v>19</v>
      </c>
      <c r="B22" s="24">
        <f>B18-B21</f>
        <v>52888.7</v>
      </c>
      <c r="C22" s="23">
        <f>C18-C21</f>
        <v>46096.500000000015</v>
      </c>
      <c r="D22" s="23">
        <f>D18-D21</f>
        <v>44474.7</v>
      </c>
    </row>
    <row r="23" spans="1:4" ht="15.5" x14ac:dyDescent="0.35">
      <c r="A23" s="3" t="s">
        <v>15</v>
      </c>
      <c r="B23" s="6"/>
      <c r="C23" s="6"/>
      <c r="D23" s="6"/>
    </row>
    <row r="24" spans="1:4" ht="15.5" x14ac:dyDescent="0.35">
      <c r="A24" s="1" t="s">
        <v>20</v>
      </c>
      <c r="B24" s="4">
        <v>13156.8</v>
      </c>
      <c r="C24" s="4">
        <v>10312.799999999999</v>
      </c>
      <c r="D24" s="4">
        <v>10951.8</v>
      </c>
    </row>
    <row r="25" spans="1:4" ht="15.5" x14ac:dyDescent="0.35">
      <c r="A25" s="1" t="s">
        <v>21</v>
      </c>
      <c r="B25" s="4">
        <v>403.5</v>
      </c>
      <c r="C25" s="4">
        <v>337.7</v>
      </c>
      <c r="D25" s="4">
        <v>377.9</v>
      </c>
    </row>
    <row r="26" spans="1:4" ht="16" thickBot="1" x14ac:dyDescent="0.4">
      <c r="A26" s="2"/>
      <c r="B26" s="10"/>
      <c r="C26" s="10"/>
      <c r="D26" s="10"/>
    </row>
    <row r="27" spans="1:4" ht="16" thickBot="1" x14ac:dyDescent="0.4">
      <c r="A27" s="7" t="s">
        <v>16</v>
      </c>
      <c r="B27" s="24">
        <f>B22-(B24+B25)</f>
        <v>39328.399999999994</v>
      </c>
      <c r="C27" s="23">
        <f>C22-(C24+C25)</f>
        <v>35446.000000000015</v>
      </c>
      <c r="D27" s="23">
        <f>D22-(D24+D25)</f>
        <v>33145</v>
      </c>
    </row>
    <row r="28" spans="1:4" ht="15.5" x14ac:dyDescent="0.35">
      <c r="A28" s="3"/>
      <c r="B28" s="3"/>
      <c r="C28" s="3"/>
      <c r="D28" s="3"/>
    </row>
    <row r="29" spans="1:4" ht="15.5" x14ac:dyDescent="0.35">
      <c r="A29" s="1"/>
      <c r="B29" s="1"/>
      <c r="C29" s="1"/>
      <c r="D29" s="1"/>
    </row>
    <row r="30" spans="1:4" ht="15.5" x14ac:dyDescent="0.35">
      <c r="A30" s="1"/>
      <c r="B30" s="1"/>
      <c r="C30" s="1"/>
      <c r="D30" s="1"/>
    </row>
    <row r="31" spans="1:4" ht="15.5" x14ac:dyDescent="0.35">
      <c r="A31" s="1"/>
      <c r="B31" s="1"/>
      <c r="C31" s="1"/>
      <c r="D31" s="1"/>
    </row>
    <row r="32" spans="1:4" ht="15.5" x14ac:dyDescent="0.35">
      <c r="A32" s="1"/>
      <c r="B32" s="1"/>
      <c r="C32" s="1"/>
      <c r="D32" s="1"/>
    </row>
    <row r="33" spans="1:4" ht="15.5" x14ac:dyDescent="0.35">
      <c r="A33" s="1"/>
      <c r="B33" s="1"/>
      <c r="C33" s="1"/>
      <c r="D33" s="1"/>
    </row>
    <row r="34" spans="1:4" ht="15.5" x14ac:dyDescent="0.35">
      <c r="A34" s="1"/>
      <c r="B34" s="1"/>
      <c r="C34" s="1"/>
      <c r="D34" s="1"/>
    </row>
    <row r="35" spans="1:4" ht="15.5" x14ac:dyDescent="0.35">
      <c r="A35" s="1"/>
      <c r="B35" s="1"/>
      <c r="C35" s="1"/>
      <c r="D35" s="1"/>
    </row>
    <row r="36" spans="1:4" ht="15.5" x14ac:dyDescent="0.35">
      <c r="A36" s="1"/>
      <c r="B36" s="1"/>
      <c r="C36" s="1"/>
      <c r="D36" s="1"/>
    </row>
    <row r="37" spans="1:4" ht="15.5" x14ac:dyDescent="0.35">
      <c r="A37" s="1"/>
      <c r="B37" s="1"/>
      <c r="C37" s="1"/>
      <c r="D37" s="1"/>
    </row>
    <row r="38" spans="1:4" ht="15.5" x14ac:dyDescent="0.35">
      <c r="A38" s="1"/>
      <c r="B38" s="1"/>
      <c r="C38" s="1"/>
      <c r="D38" s="1"/>
    </row>
    <row r="39" spans="1:4" ht="15.5" x14ac:dyDescent="0.35">
      <c r="A39" s="1"/>
      <c r="B39" s="1"/>
      <c r="C39" s="1"/>
      <c r="D39" s="1"/>
    </row>
    <row r="40" spans="1:4" ht="15.5" x14ac:dyDescent="0.35">
      <c r="A40" s="1"/>
      <c r="B40" s="1"/>
      <c r="C40" s="1"/>
      <c r="D40" s="1"/>
    </row>
    <row r="41" spans="1:4" ht="15.5" x14ac:dyDescent="0.35">
      <c r="A41" s="1"/>
      <c r="B41" s="1"/>
      <c r="C41" s="1"/>
      <c r="D41" s="1"/>
    </row>
    <row r="42" spans="1:4" ht="15.5" x14ac:dyDescent="0.35">
      <c r="A42" s="1"/>
      <c r="B42" s="1"/>
      <c r="C42" s="1"/>
      <c r="D42" s="1"/>
    </row>
    <row r="43" spans="1:4" ht="15.5" x14ac:dyDescent="0.35">
      <c r="A43" s="1"/>
      <c r="B43" s="1"/>
      <c r="C43" s="1"/>
      <c r="D43" s="1"/>
    </row>
    <row r="44" spans="1:4" ht="15.5" x14ac:dyDescent="0.35">
      <c r="A44" s="1"/>
      <c r="B44" s="1"/>
      <c r="C44" s="1"/>
      <c r="D44" s="1"/>
    </row>
    <row r="45" spans="1:4" ht="15.5" x14ac:dyDescent="0.35">
      <c r="A45" s="1"/>
      <c r="B45" s="1"/>
      <c r="C45" s="1"/>
      <c r="D45" s="1"/>
    </row>
    <row r="46" spans="1:4" ht="15.5" x14ac:dyDescent="0.35">
      <c r="A46" s="1"/>
      <c r="B46" s="1"/>
      <c r="C46" s="1"/>
      <c r="D46" s="1"/>
    </row>
    <row r="47" spans="1:4" ht="15.5" x14ac:dyDescent="0.35">
      <c r="A47" s="1"/>
      <c r="B47" s="1"/>
      <c r="C47" s="1"/>
      <c r="D47" s="1"/>
    </row>
    <row r="48" spans="1:4" ht="15.5" x14ac:dyDescent="0.35">
      <c r="A48" s="1"/>
      <c r="B48" s="1"/>
      <c r="C48" s="1"/>
      <c r="D48" s="1"/>
    </row>
  </sheetData>
  <mergeCells count="3">
    <mergeCell ref="A1:L1"/>
    <mergeCell ref="A2:L2"/>
    <mergeCell ref="A3:A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F79F-B82D-4FB7-994B-665148249688}">
  <dimension ref="A1:L59"/>
  <sheetViews>
    <sheetView zoomScale="90" zoomScaleNormal="90" workbookViewId="0">
      <selection activeCell="F56" sqref="F56"/>
    </sheetView>
  </sheetViews>
  <sheetFormatPr defaultRowHeight="14.5" x14ac:dyDescent="0.35"/>
  <cols>
    <col min="1" max="1" width="52.6328125" bestFit="1" customWidth="1"/>
    <col min="2" max="4" width="16.6328125" bestFit="1" customWidth="1"/>
  </cols>
  <sheetData>
    <row r="1" spans="1:12" ht="28.5" x14ac:dyDescent="0.6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23.5" x14ac:dyDescent="0.55000000000000004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5.5" x14ac:dyDescent="0.35">
      <c r="A3" s="47" t="s">
        <v>5</v>
      </c>
      <c r="B3" s="1" t="s">
        <v>4</v>
      </c>
      <c r="C3" s="1" t="s">
        <v>2</v>
      </c>
      <c r="D3" s="1" t="s">
        <v>3</v>
      </c>
    </row>
    <row r="4" spans="1:12" ht="15.5" x14ac:dyDescent="0.35">
      <c r="A4" s="48"/>
      <c r="B4" s="1" t="s">
        <v>17</v>
      </c>
      <c r="C4" s="1" t="s">
        <v>17</v>
      </c>
      <c r="D4" s="1" t="s">
        <v>17</v>
      </c>
    </row>
    <row r="5" spans="1:12" ht="15.5" x14ac:dyDescent="0.35">
      <c r="A5" s="9" t="s">
        <v>23</v>
      </c>
      <c r="B5" s="4"/>
      <c r="C5" s="4"/>
      <c r="D5" s="4"/>
    </row>
    <row r="6" spans="1:12" ht="15.5" x14ac:dyDescent="0.35">
      <c r="A6" s="1" t="s">
        <v>24</v>
      </c>
      <c r="B6" s="4">
        <v>964.2</v>
      </c>
      <c r="C6" s="4">
        <v>1928.3</v>
      </c>
      <c r="D6" s="4">
        <v>964.2</v>
      </c>
    </row>
    <row r="7" spans="1:12" ht="16" thickBot="1" x14ac:dyDescent="0.4">
      <c r="A7" s="2" t="s">
        <v>25</v>
      </c>
      <c r="B7" s="10">
        <v>32444.7</v>
      </c>
      <c r="C7" s="10">
        <v>49641.4</v>
      </c>
      <c r="D7" s="10">
        <v>39137.9</v>
      </c>
    </row>
    <row r="8" spans="1:12" ht="16" thickBot="1" x14ac:dyDescent="0.4">
      <c r="A8" s="7" t="s">
        <v>26</v>
      </c>
      <c r="B8" s="13">
        <f>SUM(B6:B7)</f>
        <v>33408.9</v>
      </c>
      <c r="C8" s="13">
        <f>SUM(C6:C7)</f>
        <v>51569.700000000004</v>
      </c>
      <c r="D8" s="13">
        <f>SUM(D6:D7)</f>
        <v>40102.1</v>
      </c>
    </row>
    <row r="9" spans="1:12" ht="15.5" x14ac:dyDescent="0.35">
      <c r="A9" s="3"/>
      <c r="B9" s="6"/>
      <c r="C9" s="6"/>
      <c r="D9" s="6"/>
    </row>
    <row r="10" spans="1:12" ht="15.5" x14ac:dyDescent="0.35">
      <c r="A10" s="9" t="s">
        <v>27</v>
      </c>
      <c r="B10" s="4"/>
      <c r="C10" s="4"/>
      <c r="D10" s="4"/>
    </row>
    <row r="11" spans="1:12" ht="15.5" x14ac:dyDescent="0.35">
      <c r="A11" s="9" t="s">
        <v>28</v>
      </c>
      <c r="B11" s="4"/>
      <c r="C11" s="4"/>
      <c r="D11" s="4"/>
    </row>
    <row r="12" spans="1:12" ht="15.5" x14ac:dyDescent="0.35">
      <c r="A12" s="1" t="s">
        <v>29</v>
      </c>
      <c r="B12" s="4">
        <v>254.8</v>
      </c>
      <c r="C12" s="4">
        <v>202.9</v>
      </c>
      <c r="D12" s="4">
        <v>224.8</v>
      </c>
    </row>
    <row r="13" spans="1:12" ht="15.5" x14ac:dyDescent="0.35">
      <c r="A13" s="1" t="s">
        <v>30</v>
      </c>
      <c r="B13" s="4">
        <v>2559.1999999999998</v>
      </c>
      <c r="C13" s="4">
        <v>3375.3</v>
      </c>
      <c r="D13" s="4">
        <v>3415.3</v>
      </c>
    </row>
    <row r="14" spans="1:12" ht="15.5" x14ac:dyDescent="0.35">
      <c r="A14" s="1" t="s">
        <v>31</v>
      </c>
      <c r="B14" s="4">
        <v>29172</v>
      </c>
      <c r="C14" s="4">
        <v>28236.1</v>
      </c>
      <c r="D14" s="4">
        <v>30901.5</v>
      </c>
    </row>
    <row r="15" spans="1:12" ht="15.5" x14ac:dyDescent="0.35">
      <c r="A15" s="1" t="s">
        <v>32</v>
      </c>
      <c r="B15" s="10">
        <v>120.4</v>
      </c>
      <c r="C15" s="10">
        <v>641.29999999999995</v>
      </c>
      <c r="D15" s="10">
        <v>299.60000000000002</v>
      </c>
    </row>
    <row r="16" spans="1:12" ht="16" thickBot="1" x14ac:dyDescent="0.4">
      <c r="A16" s="1" t="s">
        <v>66</v>
      </c>
      <c r="B16" s="10">
        <v>154.6</v>
      </c>
      <c r="C16" s="10">
        <v>187.3</v>
      </c>
      <c r="D16" s="10">
        <v>136.4</v>
      </c>
    </row>
    <row r="17" spans="1:4" ht="16" thickBot="1" x14ac:dyDescent="0.4">
      <c r="A17" s="15" t="s">
        <v>33</v>
      </c>
      <c r="B17" s="16">
        <f>SUM(B12:B16)</f>
        <v>32261</v>
      </c>
      <c r="C17" s="16">
        <f>SUM(C12:C16)</f>
        <v>32642.899999999998</v>
      </c>
      <c r="D17" s="16">
        <f>SUM(D12:D16)</f>
        <v>34977.599999999999</v>
      </c>
    </row>
    <row r="18" spans="1:4" ht="15.5" x14ac:dyDescent="0.35">
      <c r="A18" s="3"/>
      <c r="B18" s="6"/>
      <c r="C18" s="6"/>
      <c r="D18" s="6"/>
    </row>
    <row r="19" spans="1:4" ht="15.5" x14ac:dyDescent="0.35">
      <c r="A19" s="9" t="s">
        <v>34</v>
      </c>
      <c r="B19" s="4"/>
      <c r="C19" s="4"/>
      <c r="D19" s="4"/>
    </row>
    <row r="20" spans="1:4" ht="15.5" x14ac:dyDescent="0.35">
      <c r="A20" s="9" t="s">
        <v>35</v>
      </c>
      <c r="B20" s="4"/>
      <c r="C20" s="4"/>
      <c r="D20" s="4"/>
    </row>
    <row r="21" spans="1:4" ht="15.5" x14ac:dyDescent="0.35">
      <c r="A21" s="1" t="s">
        <v>36</v>
      </c>
      <c r="B21" s="4">
        <v>56.6</v>
      </c>
      <c r="C21" s="4">
        <v>41.5</v>
      </c>
      <c r="D21" s="4">
        <v>7308.6</v>
      </c>
    </row>
    <row r="22" spans="1:4" ht="15.5" x14ac:dyDescent="0.35">
      <c r="A22" s="1" t="s">
        <v>37</v>
      </c>
      <c r="B22" s="4">
        <v>574.70000000000005</v>
      </c>
      <c r="C22" s="4">
        <v>821.9</v>
      </c>
      <c r="D22" s="4">
        <v>719.8</v>
      </c>
    </row>
    <row r="23" spans="1:4" ht="15.5" x14ac:dyDescent="0.35">
      <c r="A23" s="1" t="s">
        <v>38</v>
      </c>
      <c r="B23" s="4">
        <v>22378.9</v>
      </c>
      <c r="C23" s="4">
        <v>29666.5</v>
      </c>
      <c r="D23" s="4">
        <v>23735.3</v>
      </c>
    </row>
    <row r="24" spans="1:4" ht="15.5" x14ac:dyDescent="0.35">
      <c r="A24" s="1" t="s">
        <v>39</v>
      </c>
      <c r="B24" s="4">
        <v>5741.2</v>
      </c>
      <c r="C24" s="4">
        <v>1933.1</v>
      </c>
      <c r="D24" s="4">
        <v>2502.8000000000002</v>
      </c>
    </row>
    <row r="25" spans="1:4" ht="15.5" x14ac:dyDescent="0.35">
      <c r="A25" s="1" t="s">
        <v>40</v>
      </c>
      <c r="B25" s="4">
        <v>6417.2</v>
      </c>
      <c r="C25" s="4">
        <v>9787</v>
      </c>
      <c r="D25" s="4">
        <v>7553</v>
      </c>
    </row>
    <row r="26" spans="1:4" ht="15.5" x14ac:dyDescent="0.35">
      <c r="A26" s="1" t="s">
        <v>41</v>
      </c>
      <c r="B26" s="4">
        <v>1393.8</v>
      </c>
      <c r="C26" s="4">
        <v>1636.2</v>
      </c>
      <c r="D26" s="4">
        <v>2158.6999999999998</v>
      </c>
    </row>
    <row r="27" spans="1:4" ht="15.5" x14ac:dyDescent="0.35">
      <c r="A27" s="1" t="s">
        <v>31</v>
      </c>
      <c r="B27" s="4">
        <v>2616.1999999999998</v>
      </c>
      <c r="C27" s="4">
        <v>3077.9</v>
      </c>
      <c r="D27" s="4">
        <v>2422.8000000000002</v>
      </c>
    </row>
    <row r="28" spans="1:4" ht="16" thickBot="1" x14ac:dyDescent="0.4">
      <c r="A28" s="2" t="s">
        <v>42</v>
      </c>
      <c r="B28" s="10">
        <v>382.1</v>
      </c>
      <c r="C28" s="10">
        <v>648.20000000000005</v>
      </c>
      <c r="D28" s="10">
        <v>452.5</v>
      </c>
    </row>
    <row r="29" spans="1:4" ht="16" thickBot="1" x14ac:dyDescent="0.4">
      <c r="A29" s="7" t="s">
        <v>43</v>
      </c>
      <c r="B29" s="13">
        <f>SUM(B21:B28)</f>
        <v>39560.699999999997</v>
      </c>
      <c r="C29" s="13">
        <f>SUM(C21:C28)</f>
        <v>47612.299999999996</v>
      </c>
      <c r="D29" s="13">
        <f>SUM(D21:D28)</f>
        <v>46853.5</v>
      </c>
    </row>
    <row r="30" spans="1:4" ht="16" thickBot="1" x14ac:dyDescent="0.4">
      <c r="A30" s="12" t="s">
        <v>67</v>
      </c>
      <c r="B30" s="14">
        <f>SUM(B17+B29)</f>
        <v>71821.7</v>
      </c>
      <c r="C30" s="14">
        <f>SUM(C17+C29)</f>
        <v>80255.199999999997</v>
      </c>
      <c r="D30" s="14">
        <f>SUM(D17+D29)</f>
        <v>81831.100000000006</v>
      </c>
    </row>
    <row r="31" spans="1:4" ht="16" thickBot="1" x14ac:dyDescent="0.4">
      <c r="A31" s="7" t="s">
        <v>44</v>
      </c>
      <c r="B31" s="13">
        <f>B8+B30</f>
        <v>105230.6</v>
      </c>
      <c r="C31" s="13">
        <f>C8+C30</f>
        <v>131824.9</v>
      </c>
      <c r="D31" s="13">
        <f>D8+D30</f>
        <v>121933.20000000001</v>
      </c>
    </row>
    <row r="32" spans="1:4" ht="15.5" x14ac:dyDescent="0.35">
      <c r="A32" s="3"/>
      <c r="B32" s="6"/>
      <c r="C32" s="6"/>
      <c r="D32" s="6"/>
    </row>
    <row r="33" spans="1:4" ht="15.5" x14ac:dyDescent="0.35">
      <c r="A33" s="9" t="s">
        <v>45</v>
      </c>
      <c r="B33" s="4"/>
      <c r="C33" s="4"/>
      <c r="D33" s="4"/>
    </row>
    <row r="34" spans="1:4" ht="15.5" x14ac:dyDescent="0.35">
      <c r="A34" s="9" t="s">
        <v>46</v>
      </c>
      <c r="B34" s="4"/>
      <c r="C34" s="4"/>
      <c r="D34" s="4"/>
    </row>
    <row r="35" spans="1:4" ht="15.5" x14ac:dyDescent="0.35">
      <c r="A35" s="1" t="s">
        <v>47</v>
      </c>
      <c r="B35" s="4">
        <v>30556.7</v>
      </c>
      <c r="C35" s="4">
        <v>57475.3</v>
      </c>
      <c r="D35" s="4">
        <v>49256.5</v>
      </c>
    </row>
    <row r="36" spans="1:4" ht="15.5" x14ac:dyDescent="0.35">
      <c r="A36" s="1" t="s">
        <v>48</v>
      </c>
      <c r="B36" s="4">
        <v>17417.099999999999</v>
      </c>
      <c r="C36" s="4">
        <v>5069.8</v>
      </c>
      <c r="D36" s="4">
        <v>11725.6</v>
      </c>
    </row>
    <row r="37" spans="1:4" ht="15.5" x14ac:dyDescent="0.35">
      <c r="A37" s="1" t="s">
        <v>49</v>
      </c>
      <c r="B37" s="4">
        <v>4045.8</v>
      </c>
      <c r="C37" s="4">
        <v>5428.9</v>
      </c>
      <c r="D37" s="4">
        <v>5479.6</v>
      </c>
    </row>
    <row r="38" spans="1:4" ht="15.5" x14ac:dyDescent="0.35">
      <c r="A38" s="9" t="s">
        <v>50</v>
      </c>
      <c r="B38" s="4"/>
      <c r="C38" s="4"/>
      <c r="D38" s="4"/>
    </row>
    <row r="39" spans="1:4" ht="15.5" x14ac:dyDescent="0.35">
      <c r="A39" s="1" t="s">
        <v>51</v>
      </c>
      <c r="B39" s="4">
        <v>4238.8999999999996</v>
      </c>
      <c r="C39" s="4">
        <v>5309.2</v>
      </c>
      <c r="D39" s="4">
        <v>5750.3</v>
      </c>
    </row>
    <row r="40" spans="1:4" ht="15.5" x14ac:dyDescent="0.35">
      <c r="A40" s="1" t="s">
        <v>52</v>
      </c>
      <c r="B40" s="4">
        <v>80.099999999999994</v>
      </c>
      <c r="C40" s="4">
        <v>90.7</v>
      </c>
      <c r="D40" s="4">
        <v>80.900000000000006</v>
      </c>
    </row>
    <row r="41" spans="1:4" ht="15.5" x14ac:dyDescent="0.35">
      <c r="A41" s="1" t="s">
        <v>53</v>
      </c>
      <c r="B41" s="4">
        <v>565.1</v>
      </c>
      <c r="C41" s="4">
        <v>599.79999999999995</v>
      </c>
      <c r="D41" s="4">
        <v>554</v>
      </c>
    </row>
    <row r="42" spans="1:4" ht="16" thickBot="1" x14ac:dyDescent="0.4">
      <c r="A42" s="1" t="s">
        <v>62</v>
      </c>
      <c r="B42" s="4">
        <v>13379.7</v>
      </c>
      <c r="C42" s="4">
        <v>11946.5</v>
      </c>
      <c r="D42" s="4">
        <v>11744.7</v>
      </c>
    </row>
    <row r="43" spans="1:4" ht="16" thickBot="1" x14ac:dyDescent="0.4">
      <c r="A43" s="7" t="s">
        <v>54</v>
      </c>
      <c r="B43" s="11">
        <f>SUM(B35:B42)</f>
        <v>70283.400000000009</v>
      </c>
      <c r="C43" s="11">
        <f>SUM(C35:C42)</f>
        <v>85920.2</v>
      </c>
      <c r="D43" s="11">
        <f>SUM(D35:D42)</f>
        <v>84591.599999999991</v>
      </c>
    </row>
    <row r="44" spans="1:4" ht="15.5" x14ac:dyDescent="0.35">
      <c r="A44" s="1"/>
      <c r="B44" s="4"/>
      <c r="C44" s="4"/>
      <c r="D44" s="4"/>
    </row>
    <row r="45" spans="1:4" ht="15.5" x14ac:dyDescent="0.35">
      <c r="A45" s="9" t="s">
        <v>55</v>
      </c>
      <c r="B45" s="4"/>
      <c r="C45" s="4"/>
      <c r="D45" s="4"/>
    </row>
    <row r="46" spans="1:4" ht="15.5" x14ac:dyDescent="0.35">
      <c r="A46" s="1" t="s">
        <v>56</v>
      </c>
      <c r="B46" s="4">
        <v>20893.599999999999</v>
      </c>
      <c r="C46" s="4">
        <v>25692.2</v>
      </c>
      <c r="D46" s="4">
        <v>28501.4</v>
      </c>
    </row>
    <row r="47" spans="1:4" ht="15.5" x14ac:dyDescent="0.35">
      <c r="A47" s="9" t="s">
        <v>50</v>
      </c>
      <c r="B47" s="4"/>
      <c r="C47" s="4"/>
      <c r="D47" s="4"/>
    </row>
    <row r="48" spans="1:4" ht="15.5" x14ac:dyDescent="0.35">
      <c r="A48" s="1" t="s">
        <v>68</v>
      </c>
      <c r="B48" s="4">
        <v>399.8</v>
      </c>
      <c r="C48" s="4"/>
      <c r="D48" s="4"/>
    </row>
    <row r="49" spans="1:4" ht="15.5" x14ac:dyDescent="0.35">
      <c r="A49" s="1" t="s">
        <v>57</v>
      </c>
      <c r="B49" s="4">
        <v>3004.6</v>
      </c>
      <c r="C49" s="4">
        <v>3294.7</v>
      </c>
      <c r="D49" s="4">
        <v>3631.5</v>
      </c>
    </row>
    <row r="50" spans="1:4" ht="15.5" x14ac:dyDescent="0.35">
      <c r="A50" s="1" t="s">
        <v>58</v>
      </c>
      <c r="B50" s="4">
        <f>'Cash Flow Statement'!B54</f>
        <v>7588.7</v>
      </c>
      <c r="C50" s="4">
        <f>'Cash Flow Statement'!C57</f>
        <v>13205.7</v>
      </c>
      <c r="D50" s="4">
        <f>'Cash Flow Statement'!B57</f>
        <v>761.8</v>
      </c>
    </row>
    <row r="51" spans="1:4" ht="15.5" x14ac:dyDescent="0.35">
      <c r="A51" s="1" t="s">
        <v>59</v>
      </c>
      <c r="B51" s="4">
        <v>199.8</v>
      </c>
      <c r="C51" s="4">
        <v>203</v>
      </c>
      <c r="D51" s="4">
        <v>194.7</v>
      </c>
    </row>
    <row r="52" spans="1:4" ht="15.5" x14ac:dyDescent="0.35">
      <c r="A52" s="1" t="s">
        <v>60</v>
      </c>
      <c r="B52" s="4">
        <v>110.1</v>
      </c>
      <c r="C52" s="4">
        <v>110</v>
      </c>
      <c r="D52" s="4">
        <v>103.1</v>
      </c>
    </row>
    <row r="53" spans="1:4" ht="15.5" x14ac:dyDescent="0.35">
      <c r="A53" s="1" t="s">
        <v>61</v>
      </c>
      <c r="B53" s="4">
        <v>462.7</v>
      </c>
      <c r="C53" s="4">
        <v>322.39999999999998</v>
      </c>
      <c r="D53" s="4">
        <v>247.2</v>
      </c>
    </row>
    <row r="54" spans="1:4" ht="16" thickBot="1" x14ac:dyDescent="0.4">
      <c r="A54" s="1" t="s">
        <v>63</v>
      </c>
      <c r="B54" s="4">
        <v>2287.9</v>
      </c>
      <c r="C54" s="4">
        <v>3076.7</v>
      </c>
      <c r="D54" s="4">
        <v>3901.9</v>
      </c>
    </row>
    <row r="55" spans="1:4" ht="16" thickBot="1" x14ac:dyDescent="0.4">
      <c r="A55" s="7" t="s">
        <v>64</v>
      </c>
      <c r="B55" s="11">
        <f>SUM(B46:B54)</f>
        <v>34947.199999999997</v>
      </c>
      <c r="C55" s="11">
        <f>SUM(C46:C54)</f>
        <v>45904.700000000004</v>
      </c>
      <c r="D55" s="11">
        <f>SUM(D46:D54)</f>
        <v>37341.599999999999</v>
      </c>
    </row>
    <row r="56" spans="1:4" ht="16" thickBot="1" x14ac:dyDescent="0.4">
      <c r="A56" s="1"/>
      <c r="B56" s="4"/>
      <c r="C56" s="4"/>
      <c r="D56" s="4"/>
    </row>
    <row r="57" spans="1:4" ht="16" thickBot="1" x14ac:dyDescent="0.4">
      <c r="A57" s="7" t="s">
        <v>65</v>
      </c>
      <c r="B57" s="11">
        <f>SUM(B43+B55)</f>
        <v>105230.6</v>
      </c>
      <c r="C57" s="11">
        <f>SUM(C43+C55)</f>
        <v>131824.9</v>
      </c>
      <c r="D57" s="11">
        <f>SUM(D43+D55)</f>
        <v>121933.19999999998</v>
      </c>
    </row>
    <row r="58" spans="1:4" ht="15" thickBot="1" x14ac:dyDescent="0.4"/>
    <row r="59" spans="1:4" ht="15" thickBot="1" x14ac:dyDescent="0.4">
      <c r="A59" s="26" t="s">
        <v>125</v>
      </c>
      <c r="B59" s="43">
        <f>ROUND(B57 - B31,0)</f>
        <v>0</v>
      </c>
      <c r="C59" s="42">
        <f>ROUND(C57 - C31,0)</f>
        <v>0</v>
      </c>
      <c r="D59" s="42">
        <f>ROUND(D57 - D31,0)</f>
        <v>0</v>
      </c>
    </row>
  </sheetData>
  <mergeCells count="3">
    <mergeCell ref="A1:L1"/>
    <mergeCell ref="A2:L2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F806-7BDA-403C-B70A-88F3068F88F8}">
  <dimension ref="A1:L80"/>
  <sheetViews>
    <sheetView zoomScale="90" zoomScaleNormal="90" workbookViewId="0">
      <selection activeCell="G22" sqref="G22"/>
    </sheetView>
  </sheetViews>
  <sheetFormatPr defaultRowHeight="14.5" x14ac:dyDescent="0.35"/>
  <cols>
    <col min="1" max="1" width="79.08984375" bestFit="1" customWidth="1"/>
    <col min="2" max="3" width="15.1796875" bestFit="1" customWidth="1"/>
  </cols>
  <sheetData>
    <row r="1" spans="1:12" ht="28.5" x14ac:dyDescent="0.6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23.5" x14ac:dyDescent="0.55000000000000004">
      <c r="A2" s="46" t="s">
        <v>69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x14ac:dyDescent="0.35">
      <c r="A3" s="49" t="s">
        <v>5</v>
      </c>
      <c r="B3" s="17" t="s">
        <v>3</v>
      </c>
      <c r="C3" s="17" t="s">
        <v>2</v>
      </c>
    </row>
    <row r="4" spans="1:12" x14ac:dyDescent="0.35">
      <c r="A4" s="50"/>
      <c r="B4" s="17" t="s">
        <v>70</v>
      </c>
      <c r="C4" s="17" t="s">
        <v>70</v>
      </c>
    </row>
    <row r="5" spans="1:12" x14ac:dyDescent="0.35">
      <c r="A5" s="18" t="s">
        <v>71</v>
      </c>
      <c r="B5" s="27"/>
      <c r="C5" s="27"/>
    </row>
    <row r="6" spans="1:12" x14ac:dyDescent="0.35">
      <c r="A6" s="18" t="s">
        <v>19</v>
      </c>
      <c r="B6" s="37">
        <f>'Income Statement'!D22</f>
        <v>44474.7</v>
      </c>
      <c r="C6" s="37">
        <f>'Income Statement'!C22</f>
        <v>46096.500000000015</v>
      </c>
    </row>
    <row r="7" spans="1:12" x14ac:dyDescent="0.35">
      <c r="A7" s="17" t="s">
        <v>84</v>
      </c>
      <c r="B7" s="27">
        <f>'Income Statement'!D14</f>
        <v>5399.2</v>
      </c>
      <c r="C7" s="27">
        <f>'Income Statement'!C14</f>
        <v>6992.3</v>
      </c>
    </row>
    <row r="8" spans="1:12" x14ac:dyDescent="0.35">
      <c r="A8" s="17" t="s">
        <v>85</v>
      </c>
      <c r="B8" s="27"/>
      <c r="C8" s="27"/>
    </row>
    <row r="9" spans="1:12" x14ac:dyDescent="0.35">
      <c r="A9" s="17" t="s">
        <v>74</v>
      </c>
      <c r="B9" s="27">
        <v>80.3</v>
      </c>
      <c r="C9" s="27">
        <v>193.2</v>
      </c>
    </row>
    <row r="10" spans="1:12" x14ac:dyDescent="0.35">
      <c r="A10" s="17" t="s">
        <v>75</v>
      </c>
      <c r="B10" s="27">
        <v>270.2</v>
      </c>
      <c r="C10" s="27">
        <v>301.89999999999998</v>
      </c>
    </row>
    <row r="11" spans="1:12" x14ac:dyDescent="0.35">
      <c r="A11" s="17" t="s">
        <v>77</v>
      </c>
      <c r="B11" s="27">
        <v>48.2</v>
      </c>
      <c r="C11" s="27">
        <v>27.8</v>
      </c>
    </row>
    <row r="12" spans="1:12" x14ac:dyDescent="0.35">
      <c r="A12" t="s">
        <v>86</v>
      </c>
      <c r="B12" s="27">
        <v>-23.8</v>
      </c>
      <c r="C12" s="27">
        <v>-39.9</v>
      </c>
    </row>
    <row r="13" spans="1:12" x14ac:dyDescent="0.35">
      <c r="A13" s="17" t="s">
        <v>87</v>
      </c>
      <c r="B13" s="27"/>
      <c r="C13" s="27"/>
    </row>
    <row r="14" spans="1:12" x14ac:dyDescent="0.35">
      <c r="A14" s="17" t="s">
        <v>73</v>
      </c>
      <c r="B14" s="27">
        <v>-588.6</v>
      </c>
      <c r="C14" s="27">
        <v>-354.6</v>
      </c>
    </row>
    <row r="15" spans="1:12" x14ac:dyDescent="0.35">
      <c r="A15" s="17" t="s">
        <v>76</v>
      </c>
      <c r="B15" s="27">
        <v>-32.799999999999997</v>
      </c>
      <c r="C15" s="27">
        <v>41.4</v>
      </c>
    </row>
    <row r="16" spans="1:12" ht="15" thickBot="1" x14ac:dyDescent="0.4">
      <c r="A16" s="20" t="s">
        <v>88</v>
      </c>
      <c r="B16" s="28">
        <f>'Income Statement'!D21</f>
        <v>-2908.2</v>
      </c>
      <c r="C16" s="27">
        <v>0</v>
      </c>
    </row>
    <row r="17" spans="1:3" ht="15" thickBot="1" x14ac:dyDescent="0.4">
      <c r="A17" s="26" t="s">
        <v>72</v>
      </c>
      <c r="B17" s="35">
        <f>SUM(B6:B16)</f>
        <v>46719.19999999999</v>
      </c>
      <c r="C17" s="36">
        <f>SUM(C6:C16)</f>
        <v>53258.60000000002</v>
      </c>
    </row>
    <row r="18" spans="1:3" x14ac:dyDescent="0.35">
      <c r="A18" s="19"/>
      <c r="B18" s="30"/>
      <c r="C18" s="30"/>
    </row>
    <row r="19" spans="1:3" x14ac:dyDescent="0.35">
      <c r="A19" s="18" t="s">
        <v>83</v>
      </c>
      <c r="B19" s="27"/>
      <c r="C19" s="27"/>
    </row>
    <row r="20" spans="1:3" x14ac:dyDescent="0.35">
      <c r="A20" s="19" t="s">
        <v>89</v>
      </c>
      <c r="B20" s="27">
        <v>-7671</v>
      </c>
      <c r="C20" s="27">
        <v>2809.1</v>
      </c>
    </row>
    <row r="21" spans="1:3" x14ac:dyDescent="0.35">
      <c r="A21" s="19" t="s">
        <v>90</v>
      </c>
      <c r="B21" s="27">
        <v>-700</v>
      </c>
      <c r="C21" s="27">
        <v>343.2</v>
      </c>
    </row>
    <row r="22" spans="1:3" x14ac:dyDescent="0.35">
      <c r="A22" s="19" t="s">
        <v>91</v>
      </c>
      <c r="B22" s="27">
        <v>-1992.3</v>
      </c>
      <c r="C22" s="27">
        <v>-729.9</v>
      </c>
    </row>
    <row r="23" spans="1:3" x14ac:dyDescent="0.35">
      <c r="A23" s="19" t="s">
        <v>95</v>
      </c>
      <c r="B23" s="27">
        <v>1341.2</v>
      </c>
      <c r="C23" s="27">
        <v>5878.9</v>
      </c>
    </row>
    <row r="24" spans="1:3" x14ac:dyDescent="0.35">
      <c r="A24" s="19" t="s">
        <v>96</v>
      </c>
      <c r="B24" s="27">
        <v>1926.3</v>
      </c>
      <c r="C24" s="27">
        <v>1697.6</v>
      </c>
    </row>
    <row r="25" spans="1:3" x14ac:dyDescent="0.35">
      <c r="A25" s="19" t="s">
        <v>94</v>
      </c>
      <c r="B25" s="27">
        <v>155.6</v>
      </c>
      <c r="C25" s="27">
        <v>-2184.9</v>
      </c>
    </row>
    <row r="26" spans="1:3" ht="15" thickBot="1" x14ac:dyDescent="0.4">
      <c r="A26" s="21" t="s">
        <v>93</v>
      </c>
      <c r="B26" s="28">
        <v>-529.20000000000005</v>
      </c>
      <c r="C26" s="27">
        <v>115.5</v>
      </c>
    </row>
    <row r="27" spans="1:3" ht="15" thickBot="1" x14ac:dyDescent="0.4">
      <c r="A27" s="33" t="s">
        <v>92</v>
      </c>
      <c r="B27" s="35">
        <f>SUM(B17:B26)</f>
        <v>39249.799999999988</v>
      </c>
      <c r="C27" s="36">
        <f>SUM(C17:C26)</f>
        <v>61188.100000000013</v>
      </c>
    </row>
    <row r="28" spans="1:3" ht="15" thickBot="1" x14ac:dyDescent="0.4">
      <c r="A28" t="s">
        <v>97</v>
      </c>
      <c r="B28" s="34">
        <v>-9904.5</v>
      </c>
      <c r="C28" s="29">
        <v>-10712.5</v>
      </c>
    </row>
    <row r="29" spans="1:3" ht="15" thickBot="1" x14ac:dyDescent="0.4">
      <c r="A29" s="26" t="s">
        <v>98</v>
      </c>
      <c r="B29" s="35">
        <f>SUM(B27:B28)</f>
        <v>29345.299999999988</v>
      </c>
      <c r="C29" s="36">
        <f>SUM(C27:C28)</f>
        <v>50475.600000000013</v>
      </c>
    </row>
    <row r="30" spans="1:3" x14ac:dyDescent="0.35">
      <c r="A30" s="22"/>
      <c r="B30" s="30"/>
      <c r="C30" s="30"/>
    </row>
    <row r="31" spans="1:3" x14ac:dyDescent="0.35">
      <c r="A31" s="18" t="s">
        <v>99</v>
      </c>
      <c r="B31" s="27"/>
      <c r="C31" s="28"/>
    </row>
    <row r="32" spans="1:3" x14ac:dyDescent="0.35">
      <c r="A32" s="40" t="s">
        <v>100</v>
      </c>
      <c r="B32" s="27">
        <v>-20086.400000000001</v>
      </c>
      <c r="C32" s="27">
        <v>-8297</v>
      </c>
    </row>
    <row r="33" spans="1:4" x14ac:dyDescent="0.35">
      <c r="A33" s="40" t="s">
        <v>101</v>
      </c>
      <c r="B33" s="27">
        <v>42.5</v>
      </c>
      <c r="C33" s="27">
        <v>34.5</v>
      </c>
    </row>
    <row r="34" spans="1:4" x14ac:dyDescent="0.35">
      <c r="A34" s="40" t="s">
        <v>102</v>
      </c>
      <c r="B34" s="27">
        <v>0</v>
      </c>
      <c r="C34" s="27">
        <v>0</v>
      </c>
    </row>
    <row r="35" spans="1:4" x14ac:dyDescent="0.35">
      <c r="A35" s="40" t="s">
        <v>103</v>
      </c>
      <c r="B35" s="27">
        <v>4238.8999999999996</v>
      </c>
      <c r="C35" s="27">
        <v>0</v>
      </c>
    </row>
    <row r="36" spans="1:4" x14ac:dyDescent="0.35">
      <c r="A36" s="40" t="s">
        <v>104</v>
      </c>
      <c r="B36" s="27">
        <v>-7056</v>
      </c>
      <c r="C36" s="27">
        <v>0</v>
      </c>
    </row>
    <row r="37" spans="1:4" x14ac:dyDescent="0.35">
      <c r="A37" s="40" t="s">
        <v>105</v>
      </c>
      <c r="B37" s="27">
        <v>2664.7</v>
      </c>
      <c r="C37" s="27">
        <v>0</v>
      </c>
    </row>
    <row r="38" spans="1:4" x14ac:dyDescent="0.35">
      <c r="A38" s="40" t="s">
        <v>106</v>
      </c>
      <c r="B38" s="27">
        <v>1325.8</v>
      </c>
      <c r="C38" s="27">
        <v>1701.1</v>
      </c>
    </row>
    <row r="39" spans="1:4" x14ac:dyDescent="0.35">
      <c r="A39" s="40" t="s">
        <v>107</v>
      </c>
      <c r="B39" s="27">
        <v>6.2</v>
      </c>
      <c r="C39" s="27">
        <v>-16.8</v>
      </c>
    </row>
    <row r="40" spans="1:4" ht="15" thickBot="1" x14ac:dyDescent="0.4">
      <c r="A40" s="41" t="s">
        <v>108</v>
      </c>
      <c r="B40" s="28">
        <v>755.3</v>
      </c>
      <c r="C40" s="28">
        <v>341.4</v>
      </c>
    </row>
    <row r="41" spans="1:4" ht="15" thickBot="1" x14ac:dyDescent="0.4">
      <c r="A41" s="26" t="s">
        <v>109</v>
      </c>
      <c r="B41" s="35">
        <f>SUM(B32:B40)</f>
        <v>-18109</v>
      </c>
      <c r="C41" s="36">
        <f>SUM(C32:C40)</f>
        <v>-6236.8</v>
      </c>
    </row>
    <row r="42" spans="1:4" x14ac:dyDescent="0.35">
      <c r="A42" s="22"/>
      <c r="B42" s="30"/>
      <c r="C42" s="30"/>
      <c r="D42" t="s">
        <v>121</v>
      </c>
    </row>
    <row r="43" spans="1:4" x14ac:dyDescent="0.35">
      <c r="A43" s="18" t="s">
        <v>110</v>
      </c>
      <c r="B43" s="28"/>
      <c r="C43" s="28"/>
    </row>
    <row r="44" spans="1:4" x14ac:dyDescent="0.35">
      <c r="A44" s="40" t="s">
        <v>111</v>
      </c>
      <c r="B44" s="27">
        <v>-35</v>
      </c>
      <c r="C44" s="27">
        <v>-32</v>
      </c>
    </row>
    <row r="45" spans="1:4" x14ac:dyDescent="0.35">
      <c r="A45" s="40" t="s">
        <v>112</v>
      </c>
      <c r="B45" s="27">
        <v>7257</v>
      </c>
      <c r="C45" s="27">
        <v>-7257</v>
      </c>
    </row>
    <row r="46" spans="1:4" x14ac:dyDescent="0.35">
      <c r="A46" s="40" t="s">
        <v>113</v>
      </c>
      <c r="B46" s="27">
        <v>-67</v>
      </c>
      <c r="C46" s="27">
        <v>-200.1</v>
      </c>
    </row>
    <row r="47" spans="1:4" x14ac:dyDescent="0.35">
      <c r="A47" s="40" t="s">
        <v>114</v>
      </c>
      <c r="B47" s="27">
        <v>-270.2</v>
      </c>
      <c r="C47" s="27">
        <v>-301.89999999999998</v>
      </c>
    </row>
    <row r="48" spans="1:4" x14ac:dyDescent="0.35">
      <c r="A48" s="40" t="s">
        <v>115</v>
      </c>
      <c r="B48" s="27">
        <v>-761.8</v>
      </c>
      <c r="C48" s="27">
        <v>-864.1</v>
      </c>
    </row>
    <row r="49" spans="1:3" ht="15" thickBot="1" x14ac:dyDescent="0.4">
      <c r="A49" s="41" t="s">
        <v>116</v>
      </c>
      <c r="B49" s="28">
        <v>-24586</v>
      </c>
      <c r="C49" s="28">
        <v>-23139.8</v>
      </c>
    </row>
    <row r="50" spans="1:3" ht="15" thickBot="1" x14ac:dyDescent="0.4">
      <c r="A50" s="26" t="s">
        <v>117</v>
      </c>
      <c r="B50" s="35">
        <f>SUM(B44:B49)</f>
        <v>-18463</v>
      </c>
      <c r="C50" s="36">
        <f>SUM(C44:C49)</f>
        <v>-31794.9</v>
      </c>
    </row>
    <row r="51" spans="1:3" ht="15" thickBot="1" x14ac:dyDescent="0.4">
      <c r="A51" s="39"/>
      <c r="B51" s="34"/>
      <c r="C51" s="34"/>
    </row>
    <row r="52" spans="1:3" ht="15" thickBot="1" x14ac:dyDescent="0.4">
      <c r="A52" s="26" t="s">
        <v>118</v>
      </c>
      <c r="B52" s="35">
        <f>SUM(B29+B41+B50)</f>
        <v>-7226.7000000000116</v>
      </c>
      <c r="C52" s="38">
        <f>SUM(C29+C41+C50)</f>
        <v>12443.900000000009</v>
      </c>
    </row>
    <row r="53" spans="1:3" x14ac:dyDescent="0.35">
      <c r="A53" s="22"/>
      <c r="B53" s="30"/>
      <c r="C53" s="30"/>
    </row>
    <row r="54" spans="1:3" x14ac:dyDescent="0.35">
      <c r="A54" s="17" t="s">
        <v>119</v>
      </c>
      <c r="B54" s="27">
        <v>7588.7</v>
      </c>
      <c r="C54" s="27">
        <f>B59</f>
        <v>761.8</v>
      </c>
    </row>
    <row r="55" spans="1:3" ht="15" thickBot="1" x14ac:dyDescent="0.4">
      <c r="A55" s="20" t="s">
        <v>120</v>
      </c>
      <c r="B55" s="28">
        <v>399.8</v>
      </c>
      <c r="C55" s="28">
        <f>'Balance Sheet'!D48</f>
        <v>0</v>
      </c>
    </row>
    <row r="56" spans="1:3" ht="15" thickBot="1" x14ac:dyDescent="0.4">
      <c r="A56" s="32" t="s">
        <v>122</v>
      </c>
      <c r="B56" s="35">
        <f>SUM(B54:B55)</f>
        <v>7988.5</v>
      </c>
      <c r="C56" s="35">
        <f>SUM(C54:C55)</f>
        <v>761.8</v>
      </c>
    </row>
    <row r="57" spans="1:3" x14ac:dyDescent="0.35">
      <c r="A57" s="22" t="s">
        <v>119</v>
      </c>
      <c r="B57" s="30">
        <v>761.8</v>
      </c>
      <c r="C57" s="30">
        <v>13205.7</v>
      </c>
    </row>
    <row r="58" spans="1:3" ht="15" thickBot="1" x14ac:dyDescent="0.4">
      <c r="A58" s="20" t="s">
        <v>120</v>
      </c>
      <c r="B58" s="28">
        <f>'Balance Sheet'!D48</f>
        <v>0</v>
      </c>
      <c r="C58" s="28">
        <f>'Balance Sheet'!C48</f>
        <v>0</v>
      </c>
    </row>
    <row r="59" spans="1:3" ht="15" thickBot="1" x14ac:dyDescent="0.4">
      <c r="A59" s="32" t="s">
        <v>123</v>
      </c>
      <c r="B59" s="35">
        <f>SUM(B57:B58)</f>
        <v>761.8</v>
      </c>
      <c r="C59" s="38">
        <f>SUM(C57:C58)</f>
        <v>13205.7</v>
      </c>
    </row>
    <row r="60" spans="1:3" ht="15" thickBot="1" x14ac:dyDescent="0.4"/>
    <row r="61" spans="1:3" ht="15" thickBot="1" x14ac:dyDescent="0.4">
      <c r="A61" s="32" t="s">
        <v>124</v>
      </c>
      <c r="B61" s="35">
        <f>B59-B56</f>
        <v>-7226.7</v>
      </c>
      <c r="C61" s="35">
        <f>C59-C56</f>
        <v>12443.900000000001</v>
      </c>
    </row>
    <row r="62" spans="1:3" x14ac:dyDescent="0.35">
      <c r="B62" s="31"/>
      <c r="C62" s="31"/>
    </row>
    <row r="63" spans="1:3" x14ac:dyDescent="0.35">
      <c r="B63" s="31"/>
      <c r="C63" s="31"/>
    </row>
    <row r="64" spans="1:3" x14ac:dyDescent="0.35">
      <c r="B64" s="31"/>
      <c r="C64" s="31"/>
    </row>
    <row r="65" spans="2:3" x14ac:dyDescent="0.35">
      <c r="B65" s="31"/>
      <c r="C65" s="31"/>
    </row>
    <row r="66" spans="2:3" x14ac:dyDescent="0.35">
      <c r="B66" s="31"/>
      <c r="C66" s="31"/>
    </row>
    <row r="67" spans="2:3" x14ac:dyDescent="0.35">
      <c r="B67" s="31"/>
      <c r="C67" s="31"/>
    </row>
    <row r="68" spans="2:3" x14ac:dyDescent="0.35">
      <c r="B68" s="31"/>
      <c r="C68" s="31"/>
    </row>
    <row r="69" spans="2:3" x14ac:dyDescent="0.35">
      <c r="B69" s="31"/>
      <c r="C69" s="31"/>
    </row>
    <row r="70" spans="2:3" x14ac:dyDescent="0.35">
      <c r="B70" s="31"/>
      <c r="C70" s="31"/>
    </row>
    <row r="71" spans="2:3" x14ac:dyDescent="0.35">
      <c r="B71" s="31"/>
      <c r="C71" s="31"/>
    </row>
    <row r="72" spans="2:3" x14ac:dyDescent="0.35">
      <c r="B72" s="31"/>
      <c r="C72" s="31"/>
    </row>
    <row r="73" spans="2:3" x14ac:dyDescent="0.35">
      <c r="B73" s="31"/>
      <c r="C73" s="31"/>
    </row>
    <row r="74" spans="2:3" x14ac:dyDescent="0.35">
      <c r="B74" s="31"/>
      <c r="C74" s="31"/>
    </row>
    <row r="75" spans="2:3" x14ac:dyDescent="0.35">
      <c r="B75" s="31"/>
      <c r="C75" s="31"/>
    </row>
    <row r="76" spans="2:3" x14ac:dyDescent="0.35">
      <c r="B76" s="31"/>
      <c r="C76" s="31"/>
    </row>
    <row r="77" spans="2:3" x14ac:dyDescent="0.35">
      <c r="B77" s="31"/>
      <c r="C77" s="31"/>
    </row>
    <row r="78" spans="2:3" x14ac:dyDescent="0.35">
      <c r="B78" s="31"/>
      <c r="C78" s="31"/>
    </row>
    <row r="79" spans="2:3" x14ac:dyDescent="0.35">
      <c r="B79" s="31"/>
      <c r="C79" s="31"/>
    </row>
    <row r="80" spans="2:3" x14ac:dyDescent="0.35">
      <c r="B80" s="31"/>
      <c r="C80" s="31"/>
    </row>
  </sheetData>
  <mergeCells count="3">
    <mergeCell ref="A1:L1"/>
    <mergeCell ref="A2:L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2026-08-31T11:40:29Z</dcterms:created>
  <dcterms:modified xsi:type="dcterms:W3CDTF">2026-09-01T18:20:48Z</dcterms:modified>
</cp:coreProperties>
</file>